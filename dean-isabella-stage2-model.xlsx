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isabelladean/Downloads/"/>
    </mc:Choice>
  </mc:AlternateContent>
  <xr:revisionPtr revIDLastSave="0" documentId="8_{FA2A0637-743F-5447-A467-4B290FFE9054}" xr6:coauthVersionLast="47" xr6:coauthVersionMax="47" xr10:uidLastSave="{00000000-0000-0000-0000-000000000000}"/>
  <bookViews>
    <workbookView xWindow="15400" yWindow="760" windowWidth="14840" windowHeight="17520" xr2:uid="{00000000-000D-0000-FFFF-FFFF00000000}"/>
  </bookViews>
  <sheets>
    <sheet name="Balance Sheet" sheetId="1" r:id="rId1"/>
    <sheet name="Income Statement" sheetId="2" r:id="rId2"/>
    <sheet name="Cash Flow" sheetId="3" r:id="rId3"/>
    <sheet name="Rat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E9" i="4"/>
  <c r="B9" i="4"/>
  <c r="B8" i="4"/>
  <c r="B7" i="4"/>
  <c r="B6" i="4"/>
  <c r="B5" i="4"/>
  <c r="E5" i="4" s="1"/>
  <c r="B4" i="4"/>
  <c r="E8" i="4" s="1"/>
  <c r="B3" i="4"/>
  <c r="E4" i="4" s="1"/>
  <c r="E2" i="4"/>
  <c r="B2" i="4"/>
  <c r="E3" i="4" s="1"/>
  <c r="E7" i="4" l="1"/>
  <c r="E6" i="4"/>
</calcChain>
</file>

<file path=xl/sharedStrings.xml><?xml version="1.0" encoding="utf-8"?>
<sst xmlns="http://schemas.openxmlformats.org/spreadsheetml/2006/main" count="43" uniqueCount="32">
  <si>
    <t>Item</t>
  </si>
  <si>
    <t>Prior Year</t>
  </si>
  <si>
    <t>Current Year</t>
  </si>
  <si>
    <t>Cash</t>
  </si>
  <si>
    <t>Accounts Receivable</t>
  </si>
  <si>
    <t>Inventory</t>
  </si>
  <si>
    <t>Total Current Assets</t>
  </si>
  <si>
    <t>Total Assets</t>
  </si>
  <si>
    <t>Current Liabilities</t>
  </si>
  <si>
    <t>Long-term Debt</t>
  </si>
  <si>
    <t>Equity</t>
  </si>
  <si>
    <t>Value</t>
  </si>
  <si>
    <t>Revenue</t>
  </si>
  <si>
    <t>EBIT</t>
  </si>
  <si>
    <t>Interest</t>
  </si>
  <si>
    <t>Taxes</t>
  </si>
  <si>
    <t>Net Income</t>
  </si>
  <si>
    <t>Operating CF</t>
  </si>
  <si>
    <t>Investing CF</t>
  </si>
  <si>
    <t>Financing CF</t>
  </si>
  <si>
    <t>Inputs</t>
  </si>
  <si>
    <t>Ratios</t>
  </si>
  <si>
    <t>ROA</t>
  </si>
  <si>
    <t>ROE</t>
  </si>
  <si>
    <t>Asset Turnover</t>
  </si>
  <si>
    <t>Inventory Turnover</t>
  </si>
  <si>
    <t>Current Ratio</t>
  </si>
  <si>
    <t>Current Assets</t>
  </si>
  <si>
    <t>Quick Ratio</t>
  </si>
  <si>
    <t>Debt to Equity</t>
  </si>
  <si>
    <t>Debt</t>
  </si>
  <si>
    <t>Times Interest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</si>
</sst>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2">
        <v>30000</v>
      </c>
      <c r="C2" s="2">
        <v>35000</v>
      </c>
    </row>
    <row r="3" spans="1:3" x14ac:dyDescent="0.2">
      <c r="A3" t="s">
        <v>4</v>
      </c>
      <c r="B3" s="2">
        <v>25000</v>
      </c>
      <c r="C3" s="2">
        <v>28000</v>
      </c>
    </row>
    <row r="4" spans="1:3" x14ac:dyDescent="0.2">
      <c r="A4" t="s">
        <v>5</v>
      </c>
      <c r="B4" s="2">
        <v>5000</v>
      </c>
      <c r="C4" s="2">
        <v>6000</v>
      </c>
    </row>
    <row r="5" spans="1:3" x14ac:dyDescent="0.2">
      <c r="A5" t="s">
        <v>6</v>
      </c>
      <c r="B5" s="2">
        <v>60000</v>
      </c>
      <c r="C5" s="2">
        <v>69000</v>
      </c>
    </row>
    <row r="6" spans="1:3" x14ac:dyDescent="0.2">
      <c r="A6" t="s">
        <v>7</v>
      </c>
      <c r="B6" s="2">
        <v>350000</v>
      </c>
      <c r="C6" s="2">
        <v>370000</v>
      </c>
    </row>
    <row r="7" spans="1:3" x14ac:dyDescent="0.2">
      <c r="A7" t="s">
        <v>8</v>
      </c>
      <c r="B7" s="2">
        <v>90000</v>
      </c>
      <c r="C7" s="2">
        <v>95000</v>
      </c>
    </row>
    <row r="8" spans="1:3" x14ac:dyDescent="0.2">
      <c r="A8" t="s">
        <v>9</v>
      </c>
      <c r="B8" s="2">
        <v>100000</v>
      </c>
      <c r="C8" s="2">
        <v>110000</v>
      </c>
    </row>
    <row r="9" spans="1:3" x14ac:dyDescent="0.2">
      <c r="A9" t="s">
        <v>10</v>
      </c>
      <c r="B9" s="2">
        <v>160000</v>
      </c>
      <c r="C9" s="2">
        <v>165000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11</v>
      </c>
    </row>
    <row r="2" spans="1:2" x14ac:dyDescent="0.2">
      <c r="A2" t="s">
        <v>12</v>
      </c>
      <c r="B2" s="2">
        <v>390000</v>
      </c>
    </row>
    <row r="3" spans="1:2" x14ac:dyDescent="0.2">
      <c r="A3" t="s">
        <v>13</v>
      </c>
      <c r="B3" s="2">
        <v>120000</v>
      </c>
    </row>
    <row r="4" spans="1:2" x14ac:dyDescent="0.2">
      <c r="A4" t="s">
        <v>14</v>
      </c>
      <c r="B4" s="2">
        <v>5000</v>
      </c>
    </row>
    <row r="5" spans="1:2" x14ac:dyDescent="0.2">
      <c r="A5" t="s">
        <v>15</v>
      </c>
      <c r="B5" s="2">
        <v>20000</v>
      </c>
    </row>
    <row r="6" spans="1:2" x14ac:dyDescent="0.2">
      <c r="A6" t="s">
        <v>16</v>
      </c>
      <c r="B6" s="2">
        <v>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11</v>
      </c>
    </row>
    <row r="2" spans="1:2" x14ac:dyDescent="0.2">
      <c r="A2" t="s">
        <v>17</v>
      </c>
      <c r="B2" s="2">
        <v>110000</v>
      </c>
    </row>
    <row r="3" spans="1:2" x14ac:dyDescent="0.2">
      <c r="A3" t="s">
        <v>18</v>
      </c>
      <c r="B3" s="2">
        <v>-30000</v>
      </c>
    </row>
    <row r="4" spans="1:2" x14ac:dyDescent="0.2">
      <c r="A4" t="s">
        <v>19</v>
      </c>
      <c r="B4" s="2">
        <v>-20000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D1" s="1" t="s">
        <v>21</v>
      </c>
    </row>
    <row r="2" spans="1:5" x14ac:dyDescent="0.2">
      <c r="A2" t="s">
        <v>16</v>
      </c>
      <c r="B2">
        <f>'Income Statement'!B6</f>
        <v>95000</v>
      </c>
      <c r="D2" t="s">
        <v>22</v>
      </c>
      <c r="E2" s="3">
        <f>B2/B3</f>
        <v>0.25675675675675674</v>
      </c>
    </row>
    <row r="3" spans="1:5" x14ac:dyDescent="0.2">
      <c r="A3" t="s">
        <v>7</v>
      </c>
      <c r="B3">
        <f>'Balance Sheet'!C6</f>
        <v>370000</v>
      </c>
      <c r="D3" t="s">
        <v>23</v>
      </c>
      <c r="E3" s="3">
        <f>B2/B4</f>
        <v>0.5757575757575758</v>
      </c>
    </row>
    <row r="4" spans="1:5" x14ac:dyDescent="0.2">
      <c r="A4" t="s">
        <v>10</v>
      </c>
      <c r="B4">
        <f>'Balance Sheet'!C9</f>
        <v>165000</v>
      </c>
      <c r="D4" t="s">
        <v>24</v>
      </c>
      <c r="E4" s="3">
        <f>B5/B3</f>
        <v>1.0540540540540539</v>
      </c>
    </row>
    <row r="5" spans="1:5" x14ac:dyDescent="0.2">
      <c r="A5" t="s">
        <v>12</v>
      </c>
      <c r="B5">
        <f>'Income Statement'!B2</f>
        <v>390000</v>
      </c>
      <c r="D5" t="s">
        <v>25</v>
      </c>
      <c r="E5" s="3">
        <f>B5/B6</f>
        <v>65</v>
      </c>
    </row>
    <row r="6" spans="1:5" x14ac:dyDescent="0.2">
      <c r="A6" t="s">
        <v>5</v>
      </c>
      <c r="B6">
        <f>'Balance Sheet'!C4</f>
        <v>6000</v>
      </c>
      <c r="D6" t="s">
        <v>26</v>
      </c>
      <c r="E6" s="3">
        <f>B7/B8</f>
        <v>0.72631578947368425</v>
      </c>
    </row>
    <row r="7" spans="1:5" x14ac:dyDescent="0.2">
      <c r="A7" t="s">
        <v>27</v>
      </c>
      <c r="B7">
        <f>'Balance Sheet'!C5</f>
        <v>69000</v>
      </c>
      <c r="D7" t="s">
        <v>28</v>
      </c>
      <c r="E7" s="3">
        <f>(B7-B6)/B8</f>
        <v>0.66315789473684206</v>
      </c>
    </row>
    <row r="8" spans="1:5" x14ac:dyDescent="0.2">
      <c r="A8" t="s">
        <v>8</v>
      </c>
      <c r="B8">
        <f>'Balance Sheet'!C7</f>
        <v>95000</v>
      </c>
      <c r="D8" t="s">
        <v>29</v>
      </c>
      <c r="E8" s="3">
        <f>B9/B4</f>
        <v>0.66666666666666663</v>
      </c>
    </row>
    <row r="9" spans="1:5" x14ac:dyDescent="0.2">
      <c r="A9" t="s">
        <v>30</v>
      </c>
      <c r="B9">
        <f>'Balance Sheet'!C8</f>
        <v>110000</v>
      </c>
      <c r="D9" t="s">
        <v>31</v>
      </c>
      <c r="E9" s="3">
        <f>B10/B11</f>
        <v>24</v>
      </c>
    </row>
    <row r="10" spans="1:5" x14ac:dyDescent="0.2">
      <c r="A10" t="s">
        <v>13</v>
      </c>
      <c r="B10">
        <f>'Income Statement'!B3</f>
        <v>120000</v>
      </c>
      <c r="E10" s="3"/>
    </row>
    <row r="11" spans="1:5" x14ac:dyDescent="0.2">
      <c r="A11" t="s">
        <v>14</v>
      </c>
      <c r="B11">
        <f>'Income Statement'!B4</f>
        <v>5000</v>
      </c>
      <c r="E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deanisabella@gmail.com</cp:lastModifiedBy>
  <dcterms:created xsi:type="dcterms:W3CDTF">2026-04-10T21:02:41Z</dcterms:created>
  <dcterms:modified xsi:type="dcterms:W3CDTF">2026-04-10T21:11:32Z</dcterms:modified>
</cp:coreProperties>
</file>